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ы блюд" sheetId="1" state="visible" r:id="rId1"/>
    <sheet xmlns:r="http://schemas.openxmlformats.org/officeDocument/2006/relationships" name="Отходы" sheetId="2" state="visible" r:id="rId2"/>
    <sheet xmlns:r="http://schemas.openxmlformats.org/officeDocument/2006/relationships" name="Сцена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Позиция</t>
        </is>
      </c>
      <c r="B1" s="1" t="inlineStr">
        <is>
          <t>Вариант А</t>
        </is>
      </c>
      <c r="C1" s="1" t="inlineStr">
        <is>
          <t>Вариант Б</t>
        </is>
      </c>
      <c r="D1" s="1" t="inlineStr">
        <is>
          <t>Норма закладки А, г/порц.</t>
        </is>
      </c>
      <c r="E1" s="1" t="inlineStr">
        <is>
          <t>Норма закладки Б, г/порц.</t>
        </is>
      </c>
      <c r="F1" s="1" t="inlineStr">
        <is>
          <t>Цена А, руб/кг</t>
        </is>
      </c>
      <c r="G1" s="1" t="inlineStr">
        <is>
          <t>Цена Б, руб/кг</t>
        </is>
      </c>
      <c r="H1" s="1" t="inlineStr">
        <is>
          <t>Стоимость порции А, руб</t>
        </is>
      </c>
      <c r="I1" s="1" t="inlineStr">
        <is>
          <t>Стоимость порции Б, руб</t>
        </is>
      </c>
      <c r="J1" s="1" t="inlineStr">
        <is>
          <t>Разница, руб/порц.</t>
        </is>
      </c>
      <c r="K1" s="1" t="inlineStr">
        <is>
          <t>Порций в месяц</t>
        </is>
      </c>
      <c r="L1" s="1" t="inlineStr">
        <is>
          <t>Разница, руб/мес</t>
        </is>
      </c>
    </row>
    <row r="2">
      <c r="A2" t="inlineStr">
        <is>
          <t>Каша гарнирная</t>
        </is>
      </c>
      <c r="B2" t="inlineStr">
        <is>
          <t>Гречка</t>
        </is>
      </c>
      <c r="C2" t="inlineStr">
        <is>
          <t>Рис</t>
        </is>
      </c>
      <c r="D2" s="2" t="n">
        <v>200</v>
      </c>
      <c r="E2" s="2" t="n">
        <v>200</v>
      </c>
      <c r="F2" s="2" t="n">
        <v>90</v>
      </c>
      <c r="G2" s="2" t="n">
        <v>110</v>
      </c>
      <c r="H2">
        <f>ROUND(C2*D2/1000*F2,2)</f>
        <v/>
      </c>
      <c r="I2">
        <f>ROUND(C2*E2/1000*G2,2)</f>
        <v/>
      </c>
      <c r="J2">
        <f>ROUND(H2-I2,2)</f>
        <v/>
      </c>
      <c r="K2" s="2" t="n">
        <v>600</v>
      </c>
      <c r="L2">
        <f>ROUND(K2*J2,2)</f>
        <v/>
      </c>
    </row>
    <row r="3">
      <c r="A3" t="inlineStr">
        <is>
          <t>Белковая позиция</t>
        </is>
      </c>
      <c r="B3" t="inlineStr">
        <is>
          <t>Котлета мясная</t>
        </is>
      </c>
      <c r="C3" t="inlineStr">
        <is>
          <t>Котлета рыбная</t>
        </is>
      </c>
      <c r="D3" s="2" t="n">
        <v>100</v>
      </c>
      <c r="E3" s="2" t="n">
        <v>100</v>
      </c>
      <c r="F3" s="2" t="n">
        <v>320</v>
      </c>
      <c r="G3" s="2" t="n">
        <v>260</v>
      </c>
      <c r="H3">
        <f>ROUND(C3*D3/1000*F3,2)</f>
        <v/>
      </c>
      <c r="I3">
        <f>ROUND(C3*E3/1000*G3,2)</f>
        <v/>
      </c>
      <c r="J3">
        <f>ROUND(H3-I3,2)</f>
        <v/>
      </c>
      <c r="K3" s="2" t="n">
        <v>600</v>
      </c>
      <c r="L3">
        <f>ROUND(K3*J3,2)</f>
        <v/>
      </c>
    </row>
    <row r="4">
      <c r="A4" t="inlineStr">
        <is>
          <t>Первое</t>
        </is>
      </c>
      <c r="B4" t="inlineStr">
        <is>
          <t>Щи</t>
        </is>
      </c>
      <c r="C4" t="inlineStr">
        <is>
          <t>Борщ</t>
        </is>
      </c>
      <c r="D4" s="2" t="n">
        <v>250</v>
      </c>
      <c r="E4" s="2" t="n">
        <v>250</v>
      </c>
      <c r="F4" s="2" t="n">
        <v>60</v>
      </c>
      <c r="G4" s="2" t="n">
        <v>65</v>
      </c>
      <c r="H4">
        <f>ROUND(C4*D4/1000*F4,2)</f>
        <v/>
      </c>
      <c r="I4">
        <f>ROUND(C4*E4/1000*G4,2)</f>
        <v/>
      </c>
      <c r="J4">
        <f>ROUND(H4-I4,2)</f>
        <v/>
      </c>
      <c r="K4" s="2" t="n">
        <v>600</v>
      </c>
      <c r="L4">
        <f>ROUND(K4*J4,2)</f>
        <v/>
      </c>
    </row>
    <row r="5">
      <c r="A5" t="inlineStr">
        <is>
          <t>Напиток</t>
        </is>
      </c>
      <c r="B5" t="inlineStr">
        <is>
          <t>Компот</t>
        </is>
      </c>
      <c r="C5" t="inlineStr">
        <is>
          <t>Морс</t>
        </is>
      </c>
      <c r="D5" s="2" t="n">
        <v>200</v>
      </c>
      <c r="E5" s="2" t="n">
        <v>200</v>
      </c>
      <c r="F5" s="2" t="n">
        <v>50</v>
      </c>
      <c r="G5" s="2" t="n">
        <v>55</v>
      </c>
      <c r="H5">
        <f>ROUND(C5*D5/1000*F5,2)</f>
        <v/>
      </c>
      <c r="I5">
        <f>ROUND(C5*E5/1000*G5,2)</f>
        <v/>
      </c>
      <c r="J5">
        <f>ROUND(H5-I5,2)</f>
        <v/>
      </c>
      <c r="K5" s="2" t="n">
        <v>600</v>
      </c>
      <c r="L5">
        <f>ROUND(K5*J5,2)</f>
        <v/>
      </c>
    </row>
    <row r="6">
      <c r="A6" s="2" t="n"/>
    </row>
    <row r="7">
      <c r="A7" t="inlineStr">
        <is>
          <t>Итого разница, руб/мес</t>
        </is>
      </c>
      <c r="L7">
        <f>SUM(L2:L5)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Комментарий</t>
        </is>
      </c>
    </row>
    <row r="2">
      <c r="A2" t="inlineStr">
        <is>
          <t>Число жителей</t>
        </is>
      </c>
      <c r="B2" s="2" t="n">
        <v>150</v>
      </c>
      <c r="C2" t="inlineStr">
        <is>
          <t>чел.</t>
        </is>
      </c>
      <c r="D2" t="inlineStr">
        <is>
          <t>входные данные учреждения</t>
        </is>
      </c>
    </row>
    <row r="3">
      <c r="A3" t="inlineStr">
        <is>
          <t>Тарелочные остатки</t>
        </is>
      </c>
      <c r="B3" s="2" t="n">
        <v>80</v>
      </c>
      <c r="C3" t="inlineStr">
        <is>
          <t>г/порцию</t>
        </is>
      </c>
      <c r="D3" t="inlineStr">
        <is>
          <t>замер 7 дней (приложение 25)</t>
        </is>
      </c>
    </row>
    <row r="4">
      <c r="A4" t="inlineStr">
        <is>
          <t>Приёмов пищи в день</t>
        </is>
      </c>
      <c r="B4" s="2" t="n">
        <v>3</v>
      </c>
      <c r="C4" t="inlineStr"/>
      <c r="D4" t="inlineStr"/>
    </row>
    <row r="5">
      <c r="A5" t="inlineStr">
        <is>
          <t>Средняя закупочная цена сырья</t>
        </is>
      </c>
      <c r="B5" s="2" t="n">
        <v>250</v>
      </c>
      <c r="C5" t="inlineStr">
        <is>
          <t>руб/кг</t>
        </is>
      </c>
      <c r="D5" t="inlineStr">
        <is>
          <t>по фактуре</t>
        </is>
      </c>
    </row>
    <row r="6">
      <c r="A6" t="inlineStr">
        <is>
          <t>Отходы в день</t>
        </is>
      </c>
      <c r="B6">
        <f>ROUND(B2*B3*B4/1000,1)</f>
        <v/>
      </c>
      <c r="C6" t="inlineStr">
        <is>
          <t>кг</t>
        </is>
      </c>
      <c r="D6" t="inlineStr"/>
    </row>
    <row r="7">
      <c r="A7" t="inlineStr">
        <is>
          <t>Строка «выброшенных денег» в день</t>
        </is>
      </c>
      <c r="B7">
        <f>ROUND(B6*B5,0)</f>
        <v/>
      </c>
      <c r="C7" t="inlineStr">
        <is>
          <t>руб</t>
        </is>
      </c>
      <c r="D7" t="inlineStr"/>
    </row>
    <row r="8">
      <c r="A8" t="inlineStr">
        <is>
          <t>Строка «выброшенных денег» в год</t>
        </is>
      </c>
      <c r="B8">
        <f>ROUND(B7*365,0)</f>
        <v/>
      </c>
      <c r="C8" t="inlineStr">
        <is>
          <t>руб</t>
        </is>
      </c>
      <c r="D8" t="inlineStr">
        <is>
          <t>365 дней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Сценарий снижения отходов</t>
        </is>
      </c>
      <c r="B1" s="1" t="inlineStr">
        <is>
          <t>Снижение, %</t>
        </is>
      </c>
      <c r="C1" s="1" t="inlineStr">
        <is>
          <t>Экономия в день, руб</t>
        </is>
      </c>
      <c r="D1" s="1" t="inlineStr">
        <is>
          <t>Экономия в год, руб</t>
        </is>
      </c>
      <c r="E1" s="1" t="inlineStr">
        <is>
          <t>Пометка</t>
        </is>
      </c>
    </row>
    <row r="2">
      <c r="A2" t="inlineStr">
        <is>
          <t>Снижение на 10%</t>
        </is>
      </c>
      <c r="B2" s="2" t="n">
        <v>10</v>
      </c>
      <c r="C2">
        <f>ROUND('Отходы'!B7*B2/100,0)</f>
        <v/>
      </c>
      <c r="D2">
        <f>ROUND('Отходы'!B8*B2/100,0)</f>
        <v/>
      </c>
      <c r="E2" t="inlineStr">
        <is>
          <t>гипотеза — подтверждается только повторным замером через 90 дней</t>
        </is>
      </c>
    </row>
    <row r="3">
      <c r="A3" t="inlineStr">
        <is>
          <t>Снижение на 20%</t>
        </is>
      </c>
      <c r="B3" s="2" t="n">
        <v>20</v>
      </c>
      <c r="C3">
        <f>ROUND('Отходы'!B7*B3/100,0)</f>
        <v/>
      </c>
      <c r="D3">
        <f>ROUND('Отходы'!B8*B3/100,0)</f>
        <v/>
      </c>
      <c r="E3" t="inlineStr">
        <is>
          <t>гипотеза — подтверждается только повторным замером через 90 дней</t>
        </is>
      </c>
    </row>
    <row r="4">
      <c r="A4" t="inlineStr">
        <is>
          <t>Снижение на 30%</t>
        </is>
      </c>
      <c r="B4" s="2" t="n">
        <v>30</v>
      </c>
      <c r="C4">
        <f>ROUND('Отходы'!B7*B4/100,0)</f>
        <v/>
      </c>
      <c r="D4">
        <f>ROUND('Отходы'!B8*B4/100,0)</f>
        <v/>
      </c>
      <c r="E4" t="inlineStr">
        <is>
          <t>гипотеза — подтверждается только повторным замером через 90 дней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2026-08-17T20:52:18Z</dcterms:created>
  <dcterms:modified xmlns:dcterms="http://purl.org/dc/terms/" xmlns:xsi="http://www.w3.org/2001/XMLSchema-instance" xsi:type="dcterms:W3CDTF">2026-08-17T20:52:18Z</dcterms:modified>
</cp:coreProperties>
</file>